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efficients" sheetId="1" state="visible" r:id="rId3"/>
    <sheet name="Curves" sheetId="2" state="visible" r:id="rId4"/>
    <sheet name="Trial chec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<sst xmlns="http://schemas.openxmlformats.org/spreadsheetml/2006/main" count="59" uniqueCount="53">
  <si>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Gunnerus PMAZM thruster: open-water polynomials at 0 deg azimuth</t>
  </si>
  <si>
    <t xml:space="preserve">Curve</t>
  </si>
  <si>
    <t xml:space="preserve">c6 (J^6)</t>
  </si>
  <si>
    <t xml:space="preserve">c5 (J^5)</t>
  </si>
  <si>
    <t xml:space="preserve">c4 (J^4)</t>
  </si>
  <si>
    <t xml:space="preserve">c3 (J^3)</t>
  </si>
  <si>
    <t xml:space="preserve">c2 (J^2)</t>
  </si>
  <si>
    <t xml:space="preserve">c1 (J)</t>
  </si>
  <si>
    <t xml:space="preserve">c0</t>
  </si>
  <si>
    <t xml:space="preserve">KT_total (propeller + duct)</t>
  </si>
  <si>
    <t xml:space="preserve">KT_propeller (propeller only)</t>
  </si>
  <si>
    <t xml:space="preserve">10*KQ</t>
  </si>
  <si>
    <t xml:space="preserve">Parameters</t>
  </si>
  <si>
    <t xml:space="preserve">Propeller diameter D [m]</t>
  </si>
  <si>
    <t xml:space="preserve">OSP demo-case configuration; matches SINTEF SimVal (1.9 m)</t>
  </si>
  <si>
    <t xml:space="preserve">Water density rho [kg/m3]</t>
  </si>
  <si>
    <t xml:space="preserve">Standard sea water</t>
  </si>
  <si>
    <t xml:space="preserve">Valid J range (model)</t>
  </si>
  <si>
    <t xml:space="preserve">-1 to 2</t>
  </si>
  <si>
    <t xml:space="preserve">Limits JA_min/JA_max in the PMAzimuth class</t>
  </si>
  <si>
    <t xml:space="preserve">Polynomial: K(J) = c6*J^6 + c5*J^5 + ... + c1*J + c0. KQ = (10*KQ)/10. Q = KQ*rho*n^2*D^5, T = KT*rho*n^2*D^4, n in rev/s.</t>
  </si>
  <si>
    <t xml:space="preserve">Source: PMAzimuth.fmu in github.com/open-simulation-platform/demo-cases (Gunnerus cases, MIT licence, DNV GL / Kongsberg Maritime / SINTEF Ocean / NTNU). Coefficients read from class propulsionmodels.PMAzimuth (Rolls-Royce Marine PMAZM model, labelled P/D 1.4) by bytecode disassembly; the model was not executed.</t>
  </si>
  <si>
    <t xml:space="preserve">Reference model data, not manufacturer test data. Only the 0 deg azimuth curves are included.</t>
  </si>
  <si>
    <t xml:space="preserve">J</t>
  </si>
  <si>
    <t xml:space="preserve">KT_total</t>
  </si>
  <si>
    <t xml:space="preserve">KT_propeller</t>
  </si>
  <si>
    <t xml:space="preserve">10KQ</t>
  </si>
  <si>
    <t xml:space="preserve">KQ</t>
  </si>
  <si>
    <t xml:space="preserve">eta0 = J*KT/(2*pi*KQ)</t>
  </si>
  <si>
    <t xml:space="preserve">Check: model shaft power from measured rpm and speed vs measured electrical power (25 Oct 2023, steady lever steps)</t>
  </si>
  <si>
    <t xml:space="preserve">Wake fraction w</t>
  </si>
  <si>
    <t xml:space="preserve">Assumed; try 0.1 to 0.2</t>
  </si>
  <si>
    <t xml:space="preserve">Max propeller rpm</t>
  </si>
  <si>
    <t xml:space="preserve">Trial sheet LoadProfile.xlsx</t>
  </si>
  <si>
    <t xml:space="preserve">Hotel load [kW]</t>
  </si>
  <si>
    <t xml:space="preserve">Mean genset power at zero thrust, 07:25 to 07:46</t>
  </si>
  <si>
    <t xml:space="preserve">Knots to m/s</t>
  </si>
  <si>
    <t xml:space="preserve">Yellow cells are inputs. Expected ratio about 0.85 to 1.0 (drive and motor losses). Speed is over ground (current about 0.5 kn not corrected).</t>
  </si>
  <si>
    <t xml:space="preserve">Lever [%]</t>
  </si>
  <si>
    <t xml:space="preserve">Mode</t>
  </si>
  <si>
    <t xml:space="preserve">RPM feedback [%]</t>
  </si>
  <si>
    <t xml:space="preserve">SOG [kn]</t>
  </si>
  <si>
    <t xml:space="preserve">P gensets total [kW] (measured)</t>
  </si>
  <si>
    <t xml:space="preserve">Prop rpm</t>
  </si>
  <si>
    <t xml:space="preserve">n [rev/s]</t>
  </si>
  <si>
    <t xml:space="preserve">Va [m/s]</t>
  </si>
  <si>
    <t xml:space="preserve">Q per thruster [kNm]</t>
  </si>
  <si>
    <t xml:space="preserve">P shaft model per thruster [kW]</t>
  </si>
  <si>
    <t xml:space="preserve">P el measured per thruster [kW]</t>
  </si>
  <si>
    <t xml:space="preserve">Ratio model / measured</t>
  </si>
  <si>
    <t xml:space="preserve">manoeuvre</t>
  </si>
  <si>
    <t xml:space="preserve">transit</t>
  </si>
  <si>
    <t xml:space="preserve">Source: DIPAI/MQTT log 25 Oct 2023, steady part (last 30 s) of each lever step lasting at least 60 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</si>
</sst>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0"/>
    <numFmt numFmtId="167" formatCode="0.0000"/>
    <numFmt numFmtId="168" formatCode="0.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v>0</v>
      </c>
      <c r="C4" s="4" t="n">
        <v>0</v>
      </c>
      <c r="D4" s="4" t="n">
        <v>-0.102067</v>
      </c>
      <c r="E4" s="4" t="n">
        <v>0.199626</v>
      </c>
      <c r="F4" s="4" t="n">
        <v>-0.039847</v>
      </c>
      <c r="G4" s="4" t="n">
        <v>-0.640246</v>
      </c>
      <c r="H4" s="4" t="n">
        <v>0.820189</v>
      </c>
    </row>
    <row r="5" customFormat="false" ht="15" hidden="false" customHeight="false" outlineLevel="0" collapsed="false">
      <c r="A5" s="3" t="s">
        <v>10</v>
      </c>
      <c r="B5" s="4" t="n">
        <v>0</v>
      </c>
      <c r="C5" s="4" t="n">
        <v>0</v>
      </c>
      <c r="D5" s="4" t="n">
        <v>-0.003342</v>
      </c>
      <c r="E5" s="4" t="n">
        <v>0.00012</v>
      </c>
      <c r="F5" s="4" t="n">
        <v>-0.144372</v>
      </c>
      <c r="G5" s="4" t="n">
        <v>-0.00378</v>
      </c>
      <c r="H5" s="4" t="n">
        <v>0.398189</v>
      </c>
    </row>
    <row r="6" customFormat="false" ht="15" hidden="false" customHeight="false" outlineLevel="0" collapsed="false">
      <c r="A6" s="3" t="s">
        <v>11</v>
      </c>
      <c r="B6" s="4" t="n">
        <v>0</v>
      </c>
      <c r="C6" s="4" t="n">
        <v>0</v>
      </c>
      <c r="D6" s="4" t="n">
        <v>-0.013326</v>
      </c>
      <c r="E6" s="4" t="n">
        <v>-0.069476</v>
      </c>
      <c r="F6" s="4" t="n">
        <v>-0.13866</v>
      </c>
      <c r="G6" s="4" t="n">
        <v>-0.014487</v>
      </c>
      <c r="H6" s="4" t="n">
        <v>0.872696</v>
      </c>
    </row>
    <row r="8" customFormat="false" ht="15" hidden="false" customHeight="false" outlineLevel="0" collapsed="false">
      <c r="A8" s="5" t="s">
        <v>12</v>
      </c>
    </row>
    <row r="9" customFormat="false" ht="15" hidden="false" customHeight="false" outlineLevel="0" collapsed="false">
      <c r="A9" s="3" t="s">
        <v>13</v>
      </c>
      <c r="B9" s="6" t="n">
        <v>1.9</v>
      </c>
      <c r="C9" s="7" t="s">
        <v>14</v>
      </c>
    </row>
    <row r="10" customFormat="false" ht="15" hidden="false" customHeight="false" outlineLevel="0" collapsed="false">
      <c r="A10" s="3" t="s">
        <v>15</v>
      </c>
      <c r="B10" s="6" t="n">
        <v>1025</v>
      </c>
      <c r="C10" s="7" t="s">
        <v>16</v>
      </c>
    </row>
    <row r="11" customFormat="false" ht="15" hidden="false" customHeight="false" outlineLevel="0" collapsed="false">
      <c r="A11" s="3" t="s">
        <v>17</v>
      </c>
      <c r="B11" s="6" t="s">
        <v>18</v>
      </c>
      <c r="C11" s="7" t="s">
        <v>19</v>
      </c>
    </row>
    <row r="13" customFormat="false" ht="15" hidden="false" customHeight="false" outlineLevel="0" collapsed="false">
      <c r="A13" s="8" t="s">
        <v>20</v>
      </c>
    </row>
    <row r="14" customFormat="false" ht="15" hidden="false" customHeight="false" outlineLevel="0" collapsed="false">
      <c r="A14" s="8" t="s">
        <v>21</v>
      </c>
    </row>
    <row r="15" customFormat="false" ht="15" hidden="false" customHeight="false" outlineLevel="0" collapsed="false">
      <c r="A15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 customFormat="false" ht="15" hidden="false" customHeight="false" outlineLevel="0" collapsed="false">
      <c r="A2" s="9" t="n">
        <v>0</v>
      </c>
      <c r="B2" s="10" t="n">
        <f aca="false">((((((Coefficients!$B$4)*$A2+Coefficients!$C$4)*$A2+Coefficients!$D$4)*$A2+Coefficients!$E$4)*$A2+Coefficients!$F$4)*$A2+Coefficients!$G$4)*$A2+Coefficients!$H$4</f>
        <v>0.820189</v>
      </c>
      <c r="C2" s="10" t="n">
        <f aca="false">((((((Coefficients!$B$5)*$A2+Coefficients!$C$5)*$A2+Coefficients!$D$5)*$A2+Coefficients!$E$5)*$A2+Coefficients!$F$5)*$A2+Coefficients!$G$5)*$A2+Coefficients!$H$5</f>
        <v>0.398189</v>
      </c>
      <c r="D2" s="10" t="n">
        <f aca="false">((((((Coefficients!$B$6)*$A2+Coefficients!$C$6)*$A2+Coefficients!$D$6)*$A2+Coefficients!$E$6)*$A2+Coefficients!$F$6)*$A2+Coefficients!$G$6)*$A2+Coefficients!$H$6</f>
        <v>0.872696</v>
      </c>
      <c r="E2" s="10" t="n">
        <f aca="false">D2/10</f>
        <v>0.0872696</v>
      </c>
      <c r="F2" s="10" t="n">
        <f aca="false">IF(E2&gt;0,A2*B2/(2*PI()*E2),"")</f>
        <v>0</v>
      </c>
    </row>
    <row r="3" customFormat="false" ht="15" hidden="false" customHeight="false" outlineLevel="0" collapsed="false">
      <c r="A3" s="9" t="n">
        <v>0.05</v>
      </c>
      <c r="B3" s="10" t="n">
        <f aca="false">((((((Coefficients!$B$4)*$A3+Coefficients!$C$4)*$A3+Coefficients!$D$4)*$A3+Coefficients!$E$4)*$A3+Coefficients!$F$4)*$A3+Coefficients!$G$4)*$A3+Coefficients!$H$4</f>
        <v>0.78810139783125</v>
      </c>
      <c r="C3" s="10" t="n">
        <f aca="false">((((((Coefficients!$B$5)*$A3+Coefficients!$C$5)*$A3+Coefficients!$D$5)*$A3+Coefficients!$E$5)*$A3+Coefficients!$F$5)*$A3+Coefficients!$G$5)*$A3+Coefficients!$H$5</f>
        <v>0.3976390641125</v>
      </c>
      <c r="D3" s="10" t="n">
        <f aca="false">((((((Coefficients!$B$6)*$A3+Coefficients!$C$6)*$A3+Coefficients!$D$6)*$A3+Coefficients!$E$6)*$A3+Coefficients!$F$6)*$A3+Coefficients!$G$6)*$A3+Coefficients!$H$6</f>
        <v>0.8716162322125</v>
      </c>
      <c r="E3" s="10" t="n">
        <f aca="false">D3/10</f>
        <v>0.08716162322125</v>
      </c>
      <c r="F3" s="10" t="n">
        <f aca="false">IF(E3&gt;0,A3*B3/(2*PI()*E3),"")</f>
        <v>0.0719526716500479</v>
      </c>
    </row>
    <row r="4" customFormat="false" ht="15" hidden="false" customHeight="false" outlineLevel="0" collapsed="false">
      <c r="A4" s="9" t="n">
        <v>0.1</v>
      </c>
      <c r="B4" s="10" t="n">
        <f aca="false">((((((Coefficients!$B$4)*$A4+Coefficients!$C$4)*$A4+Coefficients!$D$4)*$A4+Coefficients!$E$4)*$A4+Coefficients!$F$4)*$A4+Coefficients!$G$4)*$A4+Coefficients!$H$4</f>
        <v>0.7559553493</v>
      </c>
      <c r="C4" s="10" t="n">
        <f aca="false">((((((Coefficients!$B$5)*$A4+Coefficients!$C$5)*$A4+Coefficients!$D$5)*$A4+Coefficients!$E$5)*$A4+Coefficients!$F$5)*$A4+Coefficients!$G$5)*$A4+Coefficients!$H$5</f>
        <v>0.3963670658</v>
      </c>
      <c r="D4" s="10" t="n">
        <f aca="false">((((((Coefficients!$B$6)*$A4+Coefficients!$C$6)*$A4+Coefficients!$D$6)*$A4+Coefficients!$E$6)*$A4+Coefficients!$F$6)*$A4+Coefficients!$G$6)*$A4+Coefficients!$H$6</f>
        <v>0.8697898914</v>
      </c>
      <c r="E4" s="10" t="n">
        <f aca="false">D4/10</f>
        <v>0.08697898914</v>
      </c>
      <c r="F4" s="10" t="n">
        <f aca="false">IF(E4&gt;0,A4*B4/(2*PI()*E4),"")</f>
        <v>0.138325395348295</v>
      </c>
    </row>
    <row r="5" customFormat="false" ht="15" hidden="false" customHeight="false" outlineLevel="0" collapsed="false">
      <c r="A5" s="9" t="n">
        <v>0.15</v>
      </c>
      <c r="B5" s="10" t="n">
        <f aca="false">((((((Coefficients!$B$4)*$A5+Coefficients!$C$4)*$A5+Coefficients!$D$4)*$A5+Coefficients!$E$4)*$A5+Coefficients!$F$4)*$A5+Coefficients!$G$4)*$A5+Coefficients!$H$4</f>
        <v>0.72387760883125</v>
      </c>
      <c r="C5" s="10" t="n">
        <f aca="false">((((((Coefficients!$B$5)*$A5+Coefficients!$C$5)*$A5+Coefficients!$D$5)*$A5+Coefficients!$E$5)*$A5+Coefficients!$F$5)*$A5+Coefficients!$G$5)*$A5+Coefficients!$H$5</f>
        <v>0.3943723431125</v>
      </c>
      <c r="D5" s="10" t="n">
        <f aca="false">((((((Coefficients!$B$6)*$A5+Coefficients!$C$6)*$A5+Coefficients!$D$6)*$A5+Coefficients!$E$6)*$A5+Coefficients!$F$6)*$A5+Coefficients!$G$6)*$A5+Coefficients!$H$6</f>
        <v>0.8671618722125</v>
      </c>
      <c r="E5" s="10" t="n">
        <f aca="false">D5/10</f>
        <v>0.08671618722125</v>
      </c>
      <c r="F5" s="10" t="n">
        <f aca="false">IF(E5&gt;0,A5*B5/(2*PI()*E5),"")</f>
        <v>0.199285802335419</v>
      </c>
    </row>
    <row r="6" customFormat="false" ht="15" hidden="false" customHeight="false" outlineLevel="0" collapsed="false">
      <c r="A6" s="9" t="n">
        <v>0.2</v>
      </c>
      <c r="B6" s="10" t="n">
        <f aca="false">((((((Coefficients!$B$4)*$A6+Coefficients!$C$4)*$A6+Coefficients!$D$4)*$A6+Coefficients!$E$4)*$A6+Coefficients!$F$4)*$A6+Coefficients!$G$4)*$A6+Coefficients!$H$4</f>
        <v>0.6919796208</v>
      </c>
      <c r="C6" s="10" t="n">
        <f aca="false">((((((Coefficients!$B$5)*$A6+Coefficients!$C$5)*$A6+Coefficients!$D$5)*$A6+Coefficients!$E$5)*$A6+Coefficients!$F$5)*$A6+Coefficients!$G$5)*$A6+Coefficients!$H$5</f>
        <v>0.3916537328</v>
      </c>
      <c r="D6" s="10" t="n">
        <f aca="false">((((((Coefficients!$B$6)*$A6+Coefficients!$C$6)*$A6+Coefficients!$D$6)*$A6+Coefficients!$E$6)*$A6+Coefficients!$F$6)*$A6+Coefficients!$G$6)*$A6+Coefficients!$H$6</f>
        <v>0.8636750704</v>
      </c>
      <c r="E6" s="10" t="n">
        <f aca="false">D6/10</f>
        <v>0.08636750704</v>
      </c>
      <c r="F6" s="10" t="n">
        <f aca="false">IF(E6&gt;0,A6*B6/(2*PI()*E6),"")</f>
        <v>0.25503104337183</v>
      </c>
    </row>
    <row r="7" customFormat="false" ht="15" hidden="false" customHeight="false" outlineLevel="0" collapsed="false">
      <c r="A7" s="9" t="n">
        <v>0.25</v>
      </c>
      <c r="B7" s="10" t="n">
        <f aca="false">((((((Coefficients!$B$4)*$A7+Coefficients!$C$4)*$A7+Coefficients!$D$4)*$A7+Coefficients!$E$4)*$A7+Coefficients!$F$4)*$A7+Coefficients!$G$4)*$A7+Coefficients!$H$4</f>
        <v>0.66035751953125</v>
      </c>
      <c r="C7" s="10" t="n">
        <f aca="false">((((((Coefficients!$B$5)*$A7+Coefficients!$C$5)*$A7+Coefficients!$D$5)*$A7+Coefficients!$E$5)*$A7+Coefficients!$F$5)*$A7+Coefficients!$G$5)*$A7+Coefficients!$H$5</f>
        <v>0.3882095703125</v>
      </c>
      <c r="D7" s="10" t="n">
        <f aca="false">((((((Coefficients!$B$6)*$A7+Coefficients!$C$6)*$A7+Coefficients!$D$6)*$A7+Coefficients!$E$6)*$A7+Coefficients!$F$6)*$A7+Coefficients!$G$6)*$A7+Coefficients!$H$6</f>
        <v>0.8592703828125</v>
      </c>
      <c r="E7" s="10" t="n">
        <f aca="false">D7/10</f>
        <v>0.08592703828125</v>
      </c>
      <c r="F7" s="10" t="n">
        <f aca="false">IF(E7&gt;0,A7*B7/(2*PI()*E7),"")</f>
        <v>0.305780245495307</v>
      </c>
    </row>
    <row r="8" customFormat="false" ht="15" hidden="false" customHeight="false" outlineLevel="0" collapsed="false">
      <c r="A8" s="9" t="n">
        <v>0.3</v>
      </c>
      <c r="B8" s="10" t="n">
        <f aca="false">((((((Coefficients!$B$4)*$A8+Coefficients!$C$4)*$A8+Coefficients!$D$4)*$A8+Coefficients!$E$4)*$A8+Coefficients!$F$4)*$A8+Coefficients!$G$4)*$A8+Coefficients!$H$4</f>
        <v>0.6290921293</v>
      </c>
      <c r="C8" s="10" t="n">
        <f aca="false">((((((Coefficients!$B$5)*$A8+Coefficients!$C$5)*$A8+Coefficients!$D$5)*$A8+Coefficients!$E$5)*$A8+Coefficients!$F$5)*$A8+Coefficients!$G$5)*$A8+Coefficients!$H$5</f>
        <v>0.3840376898</v>
      </c>
      <c r="D8" s="10" t="n">
        <f aca="false">((((((Coefficients!$B$6)*$A8+Coefficients!$C$6)*$A8+Coefficients!$D$6)*$A8+Coefficients!$E$6)*$A8+Coefficients!$F$6)*$A8+Coefficients!$G$6)*$A8+Coefficients!$H$6</f>
        <v>0.8538867074</v>
      </c>
      <c r="E8" s="10" t="n">
        <f aca="false">D8/10</f>
        <v>0.08538867074</v>
      </c>
      <c r="F8" s="10" t="n">
        <f aca="false">IF(E8&gt;0,A8*B8/(2*PI()*E8),"")</f>
        <v>0.351767235058029</v>
      </c>
    </row>
    <row r="9" customFormat="false" ht="15" hidden="false" customHeight="false" outlineLevel="0" collapsed="false">
      <c r="A9" s="9" t="n">
        <v>0.35</v>
      </c>
      <c r="B9" s="10" t="n">
        <f aca="false">((((((Coefficients!$B$4)*$A9+Coefficients!$C$4)*$A9+Coefficients!$D$4)*$A9+Coefficients!$E$4)*$A9+Coefficients!$F$4)*$A9+Coefficients!$G$4)*$A9+Coefficients!$H$4</f>
        <v>0.59824896433125</v>
      </c>
      <c r="C9" s="10" t="n">
        <f aca="false">((((((Coefficients!$B$5)*$A9+Coefficients!$C$5)*$A9+Coefficients!$D$5)*$A9+Coefficients!$E$5)*$A9+Coefficients!$F$5)*$A9+Coefficients!$G$5)*$A9+Coefficients!$H$5</f>
        <v>0.3791354241125</v>
      </c>
      <c r="D9" s="10" t="n">
        <f aca="false">((((((Coefficients!$B$6)*$A9+Coefficients!$C$6)*$A9+Coefficients!$D$6)*$A9+Coefficients!$E$6)*$A9+Coefficients!$F$6)*$A9+Coefficients!$G$6)*$A9+Coefficients!$H$6</f>
        <v>0.8474609432125</v>
      </c>
      <c r="E9" s="10" t="n">
        <f aca="false">D9/10</f>
        <v>0.08474609432125</v>
      </c>
      <c r="F9" s="10" t="n">
        <f aca="false">IF(E9&gt;0,A9*B9/(2*PI()*E9),"")</f>
        <v>0.39323343715638</v>
      </c>
    </row>
    <row r="10" customFormat="false" ht="15" hidden="false" customHeight="false" outlineLevel="0" collapsed="false">
      <c r="A10" s="9" t="n">
        <v>0.4</v>
      </c>
      <c r="B10" s="10" t="n">
        <f aca="false">((((((Coefficients!$B$4)*$A10+Coefficients!$C$4)*$A10+Coefficients!$D$4)*$A10+Coefficients!$E$4)*$A10+Coefficients!$F$4)*$A10+Coefficients!$G$4)*$A10+Coefficients!$H$4</f>
        <v>0.5678782288</v>
      </c>
      <c r="C10" s="10" t="n">
        <f aca="false">((((((Coefficients!$B$5)*$A10+Coefficients!$C$5)*$A10+Coefficients!$D$5)*$A10+Coefficients!$E$5)*$A10+Coefficients!$F$5)*$A10+Coefficients!$G$5)*$A10+Coefficients!$H$5</f>
        <v>0.3734996048</v>
      </c>
      <c r="D10" s="10" t="n">
        <f aca="false">((((((Coefficients!$B$6)*$A10+Coefficients!$C$6)*$A10+Coefficients!$D$6)*$A10+Coefficients!$E$6)*$A10+Coefficients!$F$6)*$A10+Coefficients!$G$6)*$A10+Coefficients!$H$6</f>
        <v>0.8399279904</v>
      </c>
      <c r="E10" s="10" t="n">
        <f aca="false">D10/10</f>
        <v>0.08399279904</v>
      </c>
      <c r="F10" s="10" t="n">
        <f aca="false">IF(E10&gt;0,A10*B10/(2*PI()*E10),"")</f>
        <v>0.430420837123184</v>
      </c>
    </row>
    <row r="11" customFormat="false" ht="15" hidden="false" customHeight="false" outlineLevel="0" collapsed="false">
      <c r="A11" s="9" t="n">
        <v>0.45</v>
      </c>
      <c r="B11" s="10" t="n">
        <f aca="false">((((((Coefficients!$B$4)*$A11+Coefficients!$C$4)*$A11+Coefficients!$D$4)*$A11+Coefficients!$E$4)*$A11+Coefficients!$F$4)*$A11+Coefficients!$G$4)*$A11+Coefficients!$H$4</f>
        <v>0.53801481683125</v>
      </c>
      <c r="C11" s="10" t="n">
        <f aca="false">((((((Coefficients!$B$5)*$A11+Coefficients!$C$5)*$A11+Coefficients!$D$5)*$A11+Coefficients!$E$5)*$A11+Coefficients!$F$5)*$A11+Coefficients!$G$5)*$A11+Coefficients!$H$5</f>
        <v>0.3671265621125</v>
      </c>
      <c r="D11" s="10" t="n">
        <f aca="false">((((((Coefficients!$B$6)*$A11+Coefficients!$C$6)*$A11+Coefficients!$D$6)*$A11+Coefficients!$E$6)*$A11+Coefficients!$F$6)*$A11+Coefficients!$G$6)*$A11+Coefficients!$H$6</f>
        <v>0.8312207502125</v>
      </c>
      <c r="E11" s="10" t="n">
        <f aca="false">D11/10</f>
        <v>0.08312207502125</v>
      </c>
      <c r="F11" s="10" t="n">
        <f aca="false">IF(E11&gt;0,A11*B11/(2*PI()*E11),"")</f>
        <v>0.463564857952206</v>
      </c>
    </row>
    <row r="12" customFormat="false" ht="15" hidden="false" customHeight="false" outlineLevel="0" collapsed="false">
      <c r="A12" s="9" t="n">
        <v>0.5</v>
      </c>
      <c r="B12" s="10" t="n">
        <f aca="false">((((((Coefficients!$B$4)*$A12+Coefficients!$C$4)*$A12+Coefficients!$D$4)*$A12+Coefficients!$E$4)*$A12+Coefficients!$F$4)*$A12+Coefficients!$G$4)*$A12+Coefficients!$H$4</f>
        <v>0.5086783125</v>
      </c>
      <c r="C12" s="10" t="n">
        <f aca="false">((((((Coefficients!$B$5)*$A12+Coefficients!$C$5)*$A12+Coefficients!$D$5)*$A12+Coefficients!$E$5)*$A12+Coefficients!$F$5)*$A12+Coefficients!$G$5)*$A12+Coefficients!$H$5</f>
        <v>0.360012125</v>
      </c>
      <c r="D12" s="10" t="n">
        <f aca="false">((((((Coefficients!$B$6)*$A12+Coefficients!$C$6)*$A12+Coefficients!$D$6)*$A12+Coefficients!$E$6)*$A12+Coefficients!$F$6)*$A12+Coefficients!$G$6)*$A12+Coefficients!$H$6</f>
        <v>0.821270125</v>
      </c>
      <c r="E12" s="10" t="n">
        <f aca="false">D12/10</f>
        <v>0.0821270125</v>
      </c>
      <c r="F12" s="10" t="n">
        <f aca="false">IF(E12&gt;0,A12*B12/(2*PI()*E12),"")</f>
        <v>0.492886965041002</v>
      </c>
    </row>
    <row r="13" customFormat="false" ht="15" hidden="false" customHeight="false" outlineLevel="0" collapsed="false">
      <c r="A13" s="9" t="n">
        <v>0.55</v>
      </c>
      <c r="B13" s="10" t="n">
        <f aca="false">((((((Coefficients!$B$4)*$A13+Coefficients!$C$4)*$A13+Coefficients!$D$4)*$A13+Coefficients!$E$4)*$A13+Coefficients!$F$4)*$A13+Coefficients!$G$4)*$A13+Coefficients!$H$4</f>
        <v>0.47987298983125</v>
      </c>
      <c r="C13" s="10" t="n">
        <f aca="false">((((((Coefficients!$B$5)*$A13+Coefficients!$C$5)*$A13+Coefficients!$D$5)*$A13+Coefficients!$E$5)*$A13+Coefficients!$F$5)*$A13+Coefficients!$G$5)*$A13+Coefficients!$H$5</f>
        <v>0.3521516211125</v>
      </c>
      <c r="D13" s="10" t="n">
        <f aca="false">((((((Coefficients!$B$6)*$A13+Coefficients!$C$6)*$A13+Coefficients!$D$6)*$A13+Coefficients!$E$6)*$A13+Coefficients!$F$6)*$A13+Coefficients!$G$6)*$A13+Coefficients!$H$6</f>
        <v>0.8100050182125</v>
      </c>
      <c r="E13" s="10" t="n">
        <f aca="false">D13/10</f>
        <v>0.08100050182125</v>
      </c>
      <c r="F13" s="10" t="n">
        <f aca="false">IF(E13&gt;0,A13*B13/(2*PI()*E13),"")</f>
        <v>0.518586751549503</v>
      </c>
    </row>
    <row r="14" customFormat="false" ht="15" hidden="false" customHeight="false" outlineLevel="0" collapsed="false">
      <c r="A14" s="9" t="n">
        <v>0.6</v>
      </c>
      <c r="B14" s="10" t="n">
        <f aca="false">((((((Coefficients!$B$4)*$A14+Coefficients!$C$4)*$A14+Coefficients!$D$4)*$A14+Coefficients!$E$4)*$A14+Coefficients!$F$4)*$A14+Coefficients!$G$4)*$A14+Coefficients!$H$4</f>
        <v>0.4515878128</v>
      </c>
      <c r="C14" s="10" t="n">
        <f aca="false">((((((Coefficients!$B$5)*$A14+Coefficients!$C$5)*$A14+Coefficients!$D$5)*$A14+Coefficients!$E$5)*$A14+Coefficients!$F$5)*$A14+Coefficients!$G$5)*$A14+Coefficients!$H$5</f>
        <v>0.3435398768</v>
      </c>
      <c r="D14" s="10" t="n">
        <f aca="false">((((((Coefficients!$B$6)*$A14+Coefficients!$C$6)*$A14+Coefficients!$D$6)*$A14+Coefficients!$E$6)*$A14+Coefficients!$F$6)*$A14+Coefficients!$G$6)*$A14+Coefficients!$H$6</f>
        <v>0.7973523344</v>
      </c>
      <c r="E14" s="10" t="n">
        <f aca="false">D14/10</f>
        <v>0.07973523344</v>
      </c>
      <c r="F14" s="10" t="n">
        <f aca="false">IF(E14&gt;0,A14*B14/(2*PI()*E14),"")</f>
        <v>0.54083317660011</v>
      </c>
    </row>
    <row r="15" customFormat="false" ht="15" hidden="false" customHeight="false" outlineLevel="0" collapsed="false">
      <c r="A15" s="9" t="n">
        <v>0.65</v>
      </c>
      <c r="B15" s="10" t="n">
        <f aca="false">((((((Coefficients!$B$4)*$A15+Coefficients!$C$4)*$A15+Coefficients!$D$4)*$A15+Coefficients!$E$4)*$A15+Coefficients!$F$4)*$A15+Coefficients!$G$4)*$A15+Coefficients!$H$4</f>
        <v>0.42379643533125</v>
      </c>
      <c r="C15" s="10" t="n">
        <f aca="false">((((((Coefficients!$B$5)*$A15+Coefficients!$C$5)*$A15+Coefficients!$D$5)*$A15+Coefficients!$E$5)*$A15+Coefficients!$F$5)*$A15+Coefficients!$G$5)*$A15+Coefficients!$H$5</f>
        <v>0.3341712171125</v>
      </c>
      <c r="D15" s="10" t="n">
        <f aca="false">((((((Coefficients!$B$6)*$A15+Coefficients!$C$6)*$A15+Coefficients!$D$6)*$A15+Coefficients!$E$6)*$A15+Coefficients!$F$6)*$A15+Coefficients!$G$6)*$A15+Coefficients!$H$6</f>
        <v>0.7832369792125</v>
      </c>
      <c r="E15" s="10" t="n">
        <f aca="false">D15/10</f>
        <v>0.07832369792125</v>
      </c>
      <c r="F15" s="10" t="n">
        <f aca="false">IF(E15&gt;0,A15*B15/(2*PI()*E15),"")</f>
        <v>0.559754513251931</v>
      </c>
    </row>
    <row r="16" customFormat="false" ht="15" hidden="false" customHeight="false" outlineLevel="0" collapsed="false">
      <c r="A16" s="9" t="n">
        <v>0.7</v>
      </c>
      <c r="B16" s="10" t="n">
        <f aca="false">((((((Coefficients!$B$4)*$A16+Coefficients!$C$4)*$A16+Coefficients!$D$4)*$A16+Coefficients!$E$4)*$A16+Coefficients!$F$4)*$A16+Coefficients!$G$4)*$A16+Coefficients!$H$4</f>
        <v>0.3964572013</v>
      </c>
      <c r="C16" s="10" t="n">
        <f aca="false">((((((Coefficients!$B$5)*$A16+Coefficients!$C$5)*$A16+Coefficients!$D$5)*$A16+Coefficients!$E$5)*$A16+Coefficients!$F$5)*$A16+Coefficients!$G$5)*$A16+Coefficients!$H$5</f>
        <v>0.3240394658</v>
      </c>
      <c r="D16" s="10" t="n">
        <f aca="false">((((((Coefficients!$B$6)*$A16+Coefficients!$C$6)*$A16+Coefficients!$D$6)*$A16+Coefficients!$E$6)*$A16+Coefficients!$F$6)*$A16+Coefficients!$G$6)*$A16+Coefficients!$H$6</f>
        <v>0.7675818594</v>
      </c>
      <c r="E16" s="10" t="n">
        <f aca="false">D16/10</f>
        <v>0.07675818594</v>
      </c>
      <c r="F16" s="10" t="n">
        <f aca="false">IF(E16&gt;0,A16*B16/(2*PI()*E16),"")</f>
        <v>0.575426396246742</v>
      </c>
    </row>
    <row r="17" customFormat="false" ht="15" hidden="false" customHeight="false" outlineLevel="0" collapsed="false">
      <c r="A17" s="9" t="n">
        <v>0.75</v>
      </c>
      <c r="B17" s="10" t="n">
        <f aca="false">((((((Coefficients!$B$4)*$A17+Coefficients!$C$4)*$A17+Coefficients!$D$4)*$A17+Coefficients!$E$4)*$A17+Coefficients!$F$4)*$A17+Coefficients!$G$4)*$A17+Coefficients!$H$4</f>
        <v>0.36951314453125</v>
      </c>
      <c r="C17" s="10" t="n">
        <f aca="false">((((((Coefficients!$B$5)*$A17+Coefficients!$C$5)*$A17+Coefficients!$D$5)*$A17+Coefficients!$E$5)*$A17+Coefficients!$F$5)*$A17+Coefficients!$G$5)*$A17+Coefficients!$H$5</f>
        <v>0.3131379453125</v>
      </c>
      <c r="D17" s="10" t="n">
        <f aca="false">((((((Coefficients!$B$6)*$A17+Coefficients!$C$6)*$A17+Coefficients!$D$6)*$A17+Coefficients!$E$6)*$A17+Coefficients!$F$6)*$A17+Coefficients!$G$6)*$A17+Coefficients!$H$6</f>
        <v>0.7503078828125</v>
      </c>
      <c r="E17" s="10" t="n">
        <f aca="false">D17/10</f>
        <v>0.07503078828125</v>
      </c>
      <c r="F17" s="10" t="n">
        <f aca="false">IF(E17&gt;0,A17*B17/(2*PI()*E17),"")</f>
        <v>0.58785711342721</v>
      </c>
    </row>
    <row r="18" customFormat="false" ht="15" hidden="false" customHeight="false" outlineLevel="0" collapsed="false">
      <c r="A18" s="9" t="n">
        <v>0.8</v>
      </c>
      <c r="B18" s="10" t="n">
        <f aca="false">((((((Coefficients!$B$4)*$A18+Coefficients!$C$4)*$A18+Coefficients!$D$4)*$A18+Coefficients!$E$4)*$A18+Coefficients!$F$4)*$A18+Coefficients!$G$4)*$A18+Coefficients!$H$4</f>
        <v>0.3428919888</v>
      </c>
      <c r="C18" s="10" t="n">
        <f aca="false">((((((Coefficients!$B$5)*$A18+Coefficients!$C$5)*$A18+Coefficients!$D$5)*$A18+Coefficients!$E$5)*$A18+Coefficients!$F$5)*$A18+Coefficients!$G$5)*$A18+Coefficients!$H$5</f>
        <v>0.3014594768</v>
      </c>
      <c r="D18" s="10" t="n">
        <f aca="false">((((((Coefficients!$B$6)*$A18+Coefficients!$C$6)*$A18+Coefficients!$D$6)*$A18+Coefficients!$E$6)*$A18+Coefficients!$F$6)*$A18+Coefficients!$G$6)*$A18+Coefficients!$H$6</f>
        <v>0.7313339584</v>
      </c>
      <c r="E18" s="10" t="n">
        <f aca="false">D18/10</f>
        <v>0.07313339584</v>
      </c>
      <c r="F18" s="10" t="n">
        <f aca="false">IF(E18&gt;0,A18*B18/(2*PI()*E18),"")</f>
        <v>0.596968915087981</v>
      </c>
    </row>
    <row r="19" customFormat="false" ht="15" hidden="false" customHeight="false" outlineLevel="0" collapsed="false">
      <c r="A19" s="9" t="n">
        <v>0.85</v>
      </c>
      <c r="B19" s="10" t="n">
        <f aca="false">((((((Coefficients!$B$4)*$A19+Coefficients!$C$4)*$A19+Coefficients!$D$4)*$A19+Coefficients!$E$4)*$A19+Coefficients!$F$4)*$A19+Coefficients!$G$4)*$A19+Coefficients!$H$4</f>
        <v>0.31650614783125</v>
      </c>
      <c r="C19" s="10" t="n">
        <f aca="false">((((((Coefficients!$B$5)*$A19+Coefficients!$C$5)*$A19+Coefficients!$D$5)*$A19+Coefficients!$E$5)*$A19+Coefficients!$F$5)*$A19+Coefficients!$G$5)*$A19+Coefficients!$H$5</f>
        <v>0.2889963801125</v>
      </c>
      <c r="D19" s="10" t="n">
        <f aca="false">((((((Coefficients!$B$6)*$A19+Coefficients!$C$6)*$A19+Coefficients!$D$6)*$A19+Coefficients!$E$6)*$A19+Coefficients!$F$6)*$A19+Coefficients!$G$6)*$A19+Coefficients!$H$6</f>
        <v>0.7105769962125</v>
      </c>
      <c r="E19" s="10" t="n">
        <f aca="false">D19/10</f>
        <v>0.07105769962125</v>
      </c>
      <c r="F19" s="10" t="n">
        <f aca="false">IF(E19&gt;0,A19*B19/(2*PI()*E19),"")</f>
        <v>0.602573549138161</v>
      </c>
    </row>
    <row r="20" customFormat="false" ht="15" hidden="false" customHeight="false" outlineLevel="0" collapsed="false">
      <c r="A20" s="9" t="n">
        <v>0.9</v>
      </c>
      <c r="B20" s="10" t="n">
        <f aca="false">((((((Coefficients!$B$4)*$A20+Coefficients!$C$4)*$A20+Coefficients!$D$4)*$A20+Coefficients!$E$4)*$A20+Coefficients!$F$4)*$A20+Coefficients!$G$4)*$A20+Coefficients!$H$4</f>
        <v>0.2902527253</v>
      </c>
      <c r="C20" s="10" t="n">
        <f aca="false">((((((Coefficients!$B$5)*$A20+Coefficients!$C$5)*$A20+Coefficients!$D$5)*$A20+Coefficients!$E$5)*$A20+Coefficients!$F$5)*$A20+Coefficients!$G$5)*$A20+Coefficients!$H$5</f>
        <v>0.2757404738</v>
      </c>
      <c r="D20" s="10" t="n">
        <f aca="false">((((((Coefficients!$B$6)*$A20+Coefficients!$C$6)*$A20+Coefficients!$D$6)*$A20+Coefficients!$E$6)*$A20+Coefficients!$F$6)*$A20+Coefficients!$G$6)*$A20+Coefficients!$H$6</f>
        <v>0.6879519074</v>
      </c>
      <c r="E20" s="10" t="n">
        <f aca="false">D20/10</f>
        <v>0.06879519074</v>
      </c>
      <c r="F20" s="10" t="n">
        <f aca="false">IF(E20&gt;0,A20*B20/(2*PI()*E20),"")</f>
        <v>0.604339343091269</v>
      </c>
    </row>
    <row r="21" customFormat="false" ht="15" hidden="false" customHeight="false" outlineLevel="0" collapsed="false">
      <c r="A21" s="9" t="n">
        <v>0.95</v>
      </c>
      <c r="B21" s="10" t="n">
        <f aca="false">((((((Coefficients!$B$4)*$A21+Coefficients!$C$4)*$A21+Coefficients!$D$4)*$A21+Coefficients!$E$4)*$A21+Coefficients!$F$4)*$A21+Coefficients!$G$4)*$A21+Coefficients!$H$4</f>
        <v>0.26401351483125</v>
      </c>
      <c r="C21" s="10" t="n">
        <f aca="false">((((((Coefficients!$B$5)*$A21+Coefficients!$C$5)*$A21+Coefficients!$D$5)*$A21+Coefficients!$E$5)*$A21+Coefficients!$F$5)*$A21+Coefficients!$G$5)*$A21+Coefficients!$H$5</f>
        <v>0.2616830751125</v>
      </c>
      <c r="D21" s="10" t="n">
        <f aca="false">((((((Coefficients!$B$6)*$A21+Coefficients!$C$6)*$A21+Coefficients!$D$6)*$A21+Coefficients!$E$6)*$A21+Coefficients!$F$6)*$A21+Coefficients!$G$6)*$A21+Coefficients!$H$6</f>
        <v>0.6633716042125</v>
      </c>
      <c r="E21" s="10" t="n">
        <f aca="false">D21/10</f>
        <v>0.06633716042125</v>
      </c>
      <c r="F21" s="10" t="n">
        <f aca="false">IF(E21&gt;0,A21*B21/(2*PI()*E21),"")</f>
        <v>0.601745731631419</v>
      </c>
    </row>
    <row r="22" customFormat="false" ht="15" hidden="false" customHeight="false" outlineLevel="0" collapsed="false">
      <c r="A22" s="9" t="n">
        <v>1</v>
      </c>
      <c r="B22" s="10" t="n">
        <f aca="false">((((((Coefficients!$B$4)*$A22+Coefficients!$C$4)*$A22+Coefficients!$D$4)*$A22+Coefficients!$E$4)*$A22+Coefficients!$F$4)*$A22+Coefficients!$G$4)*$A22+Coefficients!$H$4</f>
        <v>0.237655</v>
      </c>
      <c r="C22" s="10" t="n">
        <f aca="false">((((((Coefficients!$B$5)*$A22+Coefficients!$C$5)*$A22+Coefficients!$D$5)*$A22+Coefficients!$E$5)*$A22+Coefficients!$F$5)*$A22+Coefficients!$G$5)*$A22+Coefficients!$H$5</f>
        <v>0.246815</v>
      </c>
      <c r="D22" s="10" t="n">
        <f aca="false">((((((Coefficients!$B$6)*$A22+Coefficients!$C$6)*$A22+Coefficients!$D$6)*$A22+Coefficients!$E$6)*$A22+Coefficients!$F$6)*$A22+Coefficients!$G$6)*$A22+Coefficients!$H$6</f>
        <v>0.636747</v>
      </c>
      <c r="E22" s="10" t="n">
        <f aca="false">D22/10</f>
        <v>0.0636747</v>
      </c>
      <c r="F22" s="10" t="n">
        <f aca="false">IF(E22&gt;0,A22*B22/(2*PI()*E22),"")</f>
        <v>0.594018786119202</v>
      </c>
    </row>
    <row r="23" customFormat="false" ht="15" hidden="false" customHeight="false" outlineLevel="0" collapsed="false">
      <c r="A23" s="9" t="n">
        <v>1.05</v>
      </c>
      <c r="B23" s="10" t="n">
        <f aca="false">((((((Coefficients!$B$4)*$A23+Coefficients!$C$4)*$A23+Coefficients!$D$4)*$A23+Coefficients!$E$4)*$A23+Coefficients!$F$4)*$A23+Coefficients!$G$4)*$A23+Coefficients!$H$4</f>
        <v>0.21102835433125</v>
      </c>
      <c r="C23" s="10" t="n">
        <f aca="false">((((((Coefficients!$B$5)*$A23+Coefficients!$C$5)*$A23+Coefficients!$D$5)*$A23+Coefficients!$E$5)*$A23+Coefficients!$F$5)*$A23+Coefficients!$G$5)*$A23+Coefficients!$H$5</f>
        <v>0.2311265631125</v>
      </c>
      <c r="D23" s="10" t="n">
        <f aca="false">((((((Coefficients!$B$6)*$A23+Coefficients!$C$6)*$A23+Coefficients!$D$6)*$A23+Coefficients!$E$6)*$A23+Coefficients!$F$6)*$A23+Coefficients!$G$6)*$A23+Coefficients!$H$6</f>
        <v>0.6079870092125</v>
      </c>
      <c r="E23" s="10" t="n">
        <f aca="false">D23/10</f>
        <v>0.06079870092125</v>
      </c>
      <c r="F23" s="10" t="n">
        <f aca="false">IF(E23&gt;0,A23*B23/(2*PI()*E23),"")</f>
        <v>0.580037327709726</v>
      </c>
    </row>
    <row r="24" customFormat="false" ht="15" hidden="false" customHeight="false" outlineLevel="0" collapsed="false">
      <c r="A24" s="9" t="n">
        <v>1.1</v>
      </c>
      <c r="B24" s="10" t="n">
        <f aca="false">((((((Coefficients!$B$4)*$A24+Coefficients!$C$4)*$A24+Coefficients!$D$4)*$A24+Coefficients!$E$4)*$A24+Coefficients!$F$4)*$A24+Coefficients!$G$4)*$A24+Coefficients!$H$4</f>
        <v>0.1839694413</v>
      </c>
      <c r="C24" s="10" t="n">
        <f aca="false">((((((Coefficients!$B$5)*$A24+Coefficients!$C$5)*$A24+Coefficients!$D$5)*$A24+Coefficients!$E$5)*$A24+Coefficients!$F$5)*$A24+Coefficients!$G$5)*$A24+Coefficients!$H$5</f>
        <v>0.2146075778</v>
      </c>
      <c r="D24" s="10" t="n">
        <f aca="false">((((((Coefficients!$B$6)*$A24+Coefficients!$C$6)*$A24+Coefficients!$D$6)*$A24+Coefficients!$E$6)*$A24+Coefficients!$F$6)*$A24+Coefficients!$G$6)*$A24+Coefficients!$H$6</f>
        <v>0.5769985474</v>
      </c>
      <c r="E24" s="10" t="n">
        <f aca="false">D24/10</f>
        <v>0.05769985474</v>
      </c>
      <c r="F24" s="10" t="n">
        <f aca="false">IF(E24&gt;0,A24*B24/(2*PI()*E24),"")</f>
        <v>0.558192229459748</v>
      </c>
    </row>
    <row r="25" customFormat="false" ht="15" hidden="false" customHeight="false" outlineLevel="0" collapsed="false">
      <c r="A25" s="9" t="n">
        <v>1.15</v>
      </c>
      <c r="B25" s="10" t="n">
        <f aca="false">((((((Coefficients!$B$4)*$A25+Coefficients!$C$4)*$A25+Coefficients!$D$4)*$A25+Coefficients!$E$4)*$A25+Coefficients!$F$4)*$A25+Coefficients!$G$4)*$A25+Coefficients!$H$4</f>
        <v>0.15629881433125</v>
      </c>
      <c r="C25" s="10" t="n">
        <f aca="false">((((((Coefficients!$B$5)*$A25+Coefficients!$C$5)*$A25+Coefficients!$D$5)*$A25+Coefficients!$E$5)*$A25+Coefficients!$F$5)*$A25+Coefficients!$G$5)*$A25+Coefficients!$H$5</f>
        <v>0.1972473561125</v>
      </c>
      <c r="D25" s="10" t="n">
        <f aca="false">((((((Coefficients!$B$6)*$A25+Coefficients!$C$6)*$A25+Coefficients!$D$6)*$A25+Coefficients!$E$6)*$A25+Coefficients!$F$6)*$A25+Coefficients!$G$6)*$A25+Coefficients!$H$6</f>
        <v>0.5436865312125</v>
      </c>
      <c r="E25" s="10" t="n">
        <f aca="false">D25/10</f>
        <v>0.05436865312125</v>
      </c>
      <c r="F25" s="10" t="n">
        <f aca="false">IF(E25&gt;0,A25*B25/(2*PI()*E25),"")</f>
        <v>0.526168786478045</v>
      </c>
    </row>
    <row r="26" customFormat="false" ht="15" hidden="false" customHeight="false" outlineLevel="0" collapsed="false">
      <c r="A26" s="9" t="n">
        <v>1.2</v>
      </c>
      <c r="B26" s="10" t="n">
        <f aca="false">((((((Coefficients!$B$4)*$A26+Coefficients!$C$4)*$A26+Coefficients!$D$4)*$A26+Coefficients!$E$4)*$A26+Coefficients!$F$4)*$A26+Coefficients!$G$4)*$A26+Coefficients!$H$4</f>
        <v>0.1278217168</v>
      </c>
      <c r="C26" s="10" t="n">
        <f aca="false">((((((Coefficients!$B$5)*$A26+Coefficients!$C$5)*$A26+Coefficients!$D$5)*$A26+Coefficients!$E$5)*$A26+Coefficients!$F$5)*$A26+Coefficients!$G$5)*$A26+Coefficients!$H$5</f>
        <v>0.1790347088</v>
      </c>
      <c r="D26" s="10" t="n">
        <f aca="false">((((((Coefficients!$B$6)*$A26+Coefficients!$C$6)*$A26+Coefficients!$D$6)*$A26+Coefficients!$E$6)*$A26+Coefficients!$F$6)*$A26+Coefficients!$G$6)*$A26+Coefficients!$H$6</f>
        <v>0.5079538784</v>
      </c>
      <c r="E26" s="10" t="n">
        <f aca="false">D26/10</f>
        <v>0.05079538784</v>
      </c>
      <c r="F26" s="10" t="n">
        <f aca="false">IF(E26&gt;0,A26*B26/(2*PI()*E26),"")</f>
        <v>0.480597761213094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11" t="s">
        <v>29</v>
      </c>
    </row>
    <row r="3" customFormat="false" ht="15" hidden="false" customHeight="false" outlineLevel="0" collapsed="false">
      <c r="A3" s="3" t="s">
        <v>30</v>
      </c>
      <c r="B3" s="12" t="n">
        <v>0.15</v>
      </c>
      <c r="C3" s="7" t="s">
        <v>31</v>
      </c>
    </row>
    <row r="4" customFormat="false" ht="15" hidden="false" customHeight="false" outlineLevel="0" collapsed="false">
      <c r="A4" s="3" t="s">
        <v>32</v>
      </c>
      <c r="B4" s="12" t="n">
        <v>205</v>
      </c>
      <c r="C4" s="7" t="s">
        <v>33</v>
      </c>
    </row>
    <row r="5" customFormat="false" ht="15" hidden="false" customHeight="false" outlineLevel="0" collapsed="false">
      <c r="A5" s="3" t="s">
        <v>34</v>
      </c>
      <c r="B5" s="12" t="n">
        <v>69</v>
      </c>
      <c r="C5" s="7" t="s">
        <v>35</v>
      </c>
    </row>
    <row r="6" customFormat="false" ht="15" hidden="false" customHeight="false" outlineLevel="0" collapsed="false">
      <c r="A6" s="3" t="s">
        <v>36</v>
      </c>
      <c r="B6" s="12" t="n">
        <v>0.5144</v>
      </c>
      <c r="C6" s="7"/>
    </row>
    <row r="8" customFormat="false" ht="15" hidden="false" customHeight="false" outlineLevel="0" collapsed="false">
      <c r="A8" s="8" t="s">
        <v>37</v>
      </c>
    </row>
    <row r="10" customFormat="false" ht="45" hidden="false" customHeight="true" outlineLevel="0" collapsed="false">
      <c r="A10" s="13" t="s">
        <v>38</v>
      </c>
      <c r="B10" s="13" t="s">
        <v>39</v>
      </c>
      <c r="C10" s="13" t="s">
        <v>40</v>
      </c>
      <c r="D10" s="13" t="s">
        <v>41</v>
      </c>
      <c r="E10" s="13" t="s">
        <v>42</v>
      </c>
      <c r="F10" s="13" t="s">
        <v>43</v>
      </c>
      <c r="G10" s="13" t="s">
        <v>44</v>
      </c>
      <c r="H10" s="13" t="s">
        <v>45</v>
      </c>
      <c r="I10" s="13" t="s">
        <v>23</v>
      </c>
      <c r="J10" s="13" t="s">
        <v>26</v>
      </c>
      <c r="K10" s="13" t="s">
        <v>46</v>
      </c>
      <c r="L10" s="13" t="s">
        <v>47</v>
      </c>
      <c r="M10" s="13" t="s">
        <v>48</v>
      </c>
      <c r="N10" s="13" t="s">
        <v>49</v>
      </c>
    </row>
    <row r="11" customFormat="false" ht="15" hidden="false" customHeight="false" outlineLevel="0" collapsed="false">
      <c r="A11" s="6" t="n">
        <v>30.6</v>
      </c>
      <c r="B11" s="6" t="s">
        <v>50</v>
      </c>
      <c r="C11" s="6" t="n">
        <v>27.21</v>
      </c>
      <c r="D11" s="6" t="n">
        <v>2.76</v>
      </c>
      <c r="E11" s="6" t="n">
        <v>112.2</v>
      </c>
      <c r="F11" s="14" t="n">
        <f aca="false">C11/100*$B$4</f>
        <v>55.7805</v>
      </c>
      <c r="G11" s="15" t="n">
        <f aca="false">F11/60</f>
        <v>0.929675</v>
      </c>
      <c r="H11" s="9" t="n">
        <f aca="false">D11*$B$6*(1-$B$3)</f>
        <v>1.2067824</v>
      </c>
      <c r="I11" s="15" t="n">
        <f aca="false">IF(G11&gt;0,H11/(G11*Coefficients!$B$9),"")</f>
        <v>0.683194268512058</v>
      </c>
      <c r="J11" s="10" t="n">
        <f aca="false">((((((Coefficients!$B$6)*$I11+Coefficients!$C$6)*$I11+Coefficients!$D$6)*$I11+Coefficients!$E$6)*$I11+Coefficients!$F$6)*$I11+Coefficients!$G$6)*$I11+Coefficients!$H$6</f>
        <v>0.773020419891396</v>
      </c>
      <c r="K11" s="9" t="n">
        <f aca="false">0.1*J11*Coefficients!$B$10*G11^2*Coefficients!$B$9^5/1000</f>
        <v>1.69568485517547</v>
      </c>
      <c r="L11" s="14" t="n">
        <f aca="false">2*PI()*G11*K11</f>
        <v>9.90503836770578</v>
      </c>
      <c r="M11" s="14" t="n">
        <f aca="false">(E11-$B$5)/2</f>
        <v>21.6</v>
      </c>
      <c r="N11" s="9" t="n">
        <f aca="false">IF(M11&gt;0,L11/M11,"")</f>
        <v>0.45856659109749</v>
      </c>
    </row>
    <row r="12" customFormat="false" ht="15" hidden="false" customHeight="false" outlineLevel="0" collapsed="false">
      <c r="A12" s="6" t="n">
        <v>70.4</v>
      </c>
      <c r="B12" s="6" t="s">
        <v>50</v>
      </c>
      <c r="C12" s="6" t="n">
        <v>63.02</v>
      </c>
      <c r="D12" s="6" t="n">
        <v>7.8</v>
      </c>
      <c r="E12" s="6" t="n">
        <v>302.6</v>
      </c>
      <c r="F12" s="14" t="n">
        <f aca="false">C12/100*$B$4</f>
        <v>129.191</v>
      </c>
      <c r="G12" s="15" t="n">
        <f aca="false">F12/60</f>
        <v>2.15318333333333</v>
      </c>
      <c r="H12" s="9" t="n">
        <f aca="false">D12*$B$6*(1-$B$3)</f>
        <v>3.410472</v>
      </c>
      <c r="I12" s="15" t="n">
        <f aca="false">IF(G12&gt;0,H12/(G12*Coefficients!$B$9),"")</f>
        <v>0.83364255861069</v>
      </c>
      <c r="J12" s="10" t="n">
        <f aca="false">((((((Coefficients!$B$6)*$I12+Coefficients!$C$6)*$I12+Coefficients!$D$6)*$I12+Coefficients!$E$6)*$I12+Coefficients!$F$6)*$I12+Coefficients!$G$6)*$I12+Coefficients!$H$6</f>
        <v>0.717569036774452</v>
      </c>
      <c r="K12" s="9" t="n">
        <f aca="false">0.1*J12*Coefficients!$B$10*G12^2*Coefficients!$B$9^5/1000</f>
        <v>8.44340419136256</v>
      </c>
      <c r="L12" s="14" t="n">
        <f aca="false">2*PI()*G12*K12</f>
        <v>114.229547812043</v>
      </c>
      <c r="M12" s="14" t="n">
        <f aca="false">(E12-$B$5)/2</f>
        <v>116.8</v>
      </c>
      <c r="N12" s="9" t="n">
        <f aca="false">IF(M12&gt;0,L12/M12,"")</f>
        <v>0.977992703870233</v>
      </c>
    </row>
    <row r="13" customFormat="false" ht="15" hidden="false" customHeight="false" outlineLevel="0" collapsed="false">
      <c r="A13" s="6" t="n">
        <v>70.4</v>
      </c>
      <c r="B13" s="6" t="s">
        <v>51</v>
      </c>
      <c r="C13" s="6" t="n">
        <v>73.48</v>
      </c>
      <c r="D13" s="6" t="n">
        <v>9.32</v>
      </c>
      <c r="E13" s="6" t="n">
        <v>438.5</v>
      </c>
      <c r="F13" s="14" t="n">
        <f aca="false">C13/100*$B$4</f>
        <v>150.634</v>
      </c>
      <c r="G13" s="15" t="n">
        <f aca="false">F13/60</f>
        <v>2.51056666666667</v>
      </c>
      <c r="H13" s="9" t="n">
        <f aca="false">D13*$B$6*(1-$B$3)</f>
        <v>4.0750768</v>
      </c>
      <c r="I13" s="15" t="n">
        <f aca="false">IF(G13&gt;0,H13/(G13*Coefficients!$B$9),"")</f>
        <v>0.854300063660752</v>
      </c>
      <c r="J13" s="10" t="n">
        <f aca="false">((((((Coefficients!$B$6)*$I13+Coefficients!$C$6)*$I13+Coefficients!$D$6)*$I13+Coefficients!$E$6)*$I13+Coefficients!$F$6)*$I13+Coefficients!$G$6)*$I13+Coefficients!$H$6</f>
        <v>0.708705857300802</v>
      </c>
      <c r="K13" s="9" t="n">
        <f aca="false">0.1*J13*Coefficients!$B$10*G13^2*Coefficients!$B$9^5/1000</f>
        <v>11.337085159616</v>
      </c>
      <c r="L13" s="14" t="n">
        <f aca="false">2*PI()*G13*K13</f>
        <v>178.835212692446</v>
      </c>
      <c r="M13" s="14" t="n">
        <f aca="false">(E13-$B$5)/2</f>
        <v>184.75</v>
      </c>
      <c r="N13" s="9" t="n">
        <f aca="false">IF(M13&gt;0,L13/M13,"")</f>
        <v>0.967984913084955</v>
      </c>
    </row>
    <row r="14" customFormat="false" ht="15" hidden="false" customHeight="false" outlineLevel="0" collapsed="false">
      <c r="A14" s="6" t="n">
        <v>80.3</v>
      </c>
      <c r="B14" s="6" t="s">
        <v>51</v>
      </c>
      <c r="C14" s="6" t="n">
        <v>83.94</v>
      </c>
      <c r="D14" s="6" t="n">
        <v>10.35</v>
      </c>
      <c r="E14" s="6" t="n">
        <v>683.7</v>
      </c>
      <c r="F14" s="14" t="n">
        <f aca="false">C14/100*$B$4</f>
        <v>172.077</v>
      </c>
      <c r="G14" s="15" t="n">
        <f aca="false">F14/60</f>
        <v>2.86795</v>
      </c>
      <c r="H14" s="9" t="n">
        <f aca="false">D14*$B$6*(1-$B$3)</f>
        <v>4.525434</v>
      </c>
      <c r="I14" s="15" t="n">
        <f aca="false">IF(G14&gt;0,H14/(G14*Coefficients!$B$9),"")</f>
        <v>0.830491245810092</v>
      </c>
      <c r="J14" s="10" t="n">
        <f aca="false">((((((Coefficients!$B$6)*$I14+Coefficients!$C$6)*$I14+Coefficients!$D$6)*$I14+Coefficients!$E$6)*$I14+Coefficients!$F$6)*$I14+Coefficients!$G$6)*$I14+Coefficients!$H$6</f>
        <v>0.718893360041765</v>
      </c>
      <c r="K14" s="9" t="n">
        <f aca="false">0.1*J14*Coefficients!$B$10*G14^2*Coefficients!$B$9^5/1000</f>
        <v>15.007193890216</v>
      </c>
      <c r="L14" s="14" t="n">
        <f aca="false">2*PI()*G14*K14</f>
        <v>270.427552429798</v>
      </c>
      <c r="M14" s="14" t="n">
        <f aca="false">(E14-$B$5)/2</f>
        <v>307.35</v>
      </c>
      <c r="N14" s="9" t="n">
        <f aca="false">IF(M14&gt;0,L14/M14,"")</f>
        <v>0.87986839899072</v>
      </c>
    </row>
    <row r="15" customFormat="false" ht="15" hidden="false" customHeight="false" outlineLevel="0" collapsed="false">
      <c r="A15" s="6" t="n">
        <v>90.9</v>
      </c>
      <c r="B15" s="6" t="s">
        <v>51</v>
      </c>
      <c r="C15" s="6" t="n">
        <v>95.18</v>
      </c>
      <c r="D15" s="6" t="n">
        <v>11.3</v>
      </c>
      <c r="E15" s="6" t="n">
        <v>979.5</v>
      </c>
      <c r="F15" s="14" t="n">
        <f aca="false">C15/100*$B$4</f>
        <v>195.119</v>
      </c>
      <c r="G15" s="15" t="n">
        <f aca="false">F15/60</f>
        <v>3.25198333333333</v>
      </c>
      <c r="H15" s="9" t="n">
        <f aca="false">D15*$B$6*(1-$B$3)</f>
        <v>4.940812</v>
      </c>
      <c r="I15" s="15" t="n">
        <f aca="false">IF(G15&gt;0,H15/(G15*Coefficients!$B$9),"")</f>
        <v>0.799643510397568</v>
      </c>
      <c r="J15" s="10" t="n">
        <f aca="false">((((((Coefficients!$B$6)*$I15+Coefficients!$C$6)*$I15+Coefficients!$D$6)*$I15+Coefficients!$E$6)*$I15+Coefficients!$F$6)*$I15+Coefficients!$G$6)*$I15+Coefficients!$H$6</f>
        <v>0.731475449646261</v>
      </c>
      <c r="K15" s="9" t="n">
        <f aca="false">0.1*J15*Coefficients!$B$10*G15^2*Coefficients!$B$9^5/1000</f>
        <v>19.6330714453952</v>
      </c>
      <c r="L15" s="14" t="n">
        <f aca="false">2*PI()*G15*K15</f>
        <v>401.158895113319</v>
      </c>
      <c r="M15" s="14" t="n">
        <f aca="false">(E15-$B$5)/2</f>
        <v>455.25</v>
      </c>
      <c r="N15" s="9" t="n">
        <f aca="false">IF(M15&gt;0,L15/M15,"")</f>
        <v>0.881183734460887</v>
      </c>
    </row>
    <row r="16" customFormat="false" ht="15" hidden="false" customHeight="false" outlineLevel="0" collapsed="false">
      <c r="A16" s="6" t="n">
        <v>100</v>
      </c>
      <c r="B16" s="6" t="s">
        <v>51</v>
      </c>
      <c r="C16" s="6" t="n">
        <v>97.74</v>
      </c>
      <c r="D16" s="6" t="n">
        <v>11.47</v>
      </c>
      <c r="E16" s="6" t="n">
        <v>1115.1</v>
      </c>
      <c r="F16" s="14" t="n">
        <f aca="false">C16/100*$B$4</f>
        <v>200.367</v>
      </c>
      <c r="G16" s="15" t="n">
        <f aca="false">F16/60</f>
        <v>3.33945</v>
      </c>
      <c r="H16" s="9" t="n">
        <f aca="false">D16*$B$6*(1-$B$3)</f>
        <v>5.0151428</v>
      </c>
      <c r="I16" s="15" t="n">
        <f aca="false">IF(G16&gt;0,H16/(G16*Coefficients!$B$9),"")</f>
        <v>0.790414242496598</v>
      </c>
      <c r="J16" s="10" t="n">
        <f aca="false">((((((Coefficients!$B$6)*$I16+Coefficients!$C$6)*$I16+Coefficients!$D$6)*$I16+Coefficients!$E$6)*$I16+Coefficients!$F$6)*$I16+Coefficients!$G$6)*$I16+Coefficients!$H$6</f>
        <v>0.735107112170359</v>
      </c>
      <c r="K16" s="9" t="n">
        <f aca="false">0.1*J16*Coefficients!$B$10*G16^2*Coefficients!$B$9^5/1000</f>
        <v>20.8061816331586</v>
      </c>
      <c r="L16" s="14" t="n">
        <f aca="false">2*PI()*G16*K16</f>
        <v>436.56327541604</v>
      </c>
      <c r="M16" s="14" t="n">
        <f aca="false">(E16-$B$5)/2</f>
        <v>523.05</v>
      </c>
      <c r="N16" s="9" t="n">
        <f aca="false">IF(M16&gt;0,L16/M16,"")</f>
        <v>0.834649221711195</v>
      </c>
    </row>
    <row r="17" customFormat="false" ht="15" hidden="false" customHeight="false" outlineLevel="0" collapsed="false">
      <c r="A17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2026-10-27T13:09:26Z</dcterms:created>
  <dc:creator>openpyxl</dc:creator>
  <dc:description/>
  <dc:language>en-US</dc:language>
  <cp:lastModifiedBy/>
  <dcterms:modified xsi:type="dcterms:W3CDTF">2026-10-27T13:09:26Z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